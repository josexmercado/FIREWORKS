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ireworks gaming\"/>
    </mc:Choice>
  </mc:AlternateContent>
  <bookViews>
    <workbookView xWindow="0" yWindow="0" windowWidth="28800" windowHeight="12435"/>
  </bookViews>
  <sheets>
    <sheet name="Angelica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" l="1"/>
  <c r="I15" i="1"/>
  <c r="H15" i="1"/>
  <c r="J15" i="1" l="1"/>
  <c r="L15" i="1" s="1"/>
  <c r="H14" i="1"/>
  <c r="I14" i="1"/>
  <c r="H16" i="1"/>
  <c r="I16" i="1"/>
  <c r="H17" i="1"/>
  <c r="I17" i="1"/>
  <c r="H18" i="1"/>
  <c r="I18" i="1"/>
  <c r="F14" i="1"/>
  <c r="F16" i="1"/>
  <c r="F17" i="1"/>
  <c r="F18" i="1"/>
  <c r="F13" i="1"/>
  <c r="H13" i="1"/>
  <c r="I13" i="1"/>
  <c r="I19" i="1"/>
  <c r="H19" i="1"/>
  <c r="F19" i="1"/>
  <c r="K15" i="1" l="1"/>
  <c r="J16" i="1"/>
  <c r="L16" i="1" s="1"/>
  <c r="J17" i="1"/>
  <c r="K17" i="1" s="1"/>
  <c r="J18" i="1"/>
  <c r="K18" i="1" s="1"/>
  <c r="K16" i="1"/>
  <c r="J14" i="1"/>
  <c r="L14" i="1" s="1"/>
  <c r="J19" i="1"/>
  <c r="L19" i="1" s="1"/>
  <c r="H20" i="1"/>
  <c r="I20" i="1"/>
  <c r="J13" i="1"/>
  <c r="K13" i="1" s="1"/>
  <c r="K19" i="1"/>
  <c r="I8" i="1"/>
  <c r="H8" i="1"/>
  <c r="F8" i="1"/>
  <c r="L17" i="1" l="1"/>
  <c r="K14" i="1"/>
  <c r="K20" i="1" s="1"/>
  <c r="L18" i="1"/>
  <c r="L13" i="1"/>
  <c r="J20" i="1"/>
  <c r="J8" i="1"/>
  <c r="L8" i="1" s="1"/>
  <c r="I6" i="1"/>
  <c r="I7" i="1"/>
  <c r="H6" i="1"/>
  <c r="H7" i="1"/>
  <c r="F6" i="1"/>
  <c r="F7" i="1"/>
  <c r="L20" i="1" l="1"/>
  <c r="J7" i="1"/>
  <c r="K7" i="1" s="1"/>
  <c r="K8" i="1"/>
  <c r="H9" i="1"/>
  <c r="I9" i="1"/>
  <c r="J6" i="1"/>
  <c r="L7" i="1" l="1"/>
  <c r="J9" i="1"/>
  <c r="L6" i="1"/>
  <c r="L9" i="1" s="1"/>
  <c r="K6" i="1"/>
  <c r="K9" i="1" s="1"/>
</calcChain>
</file>

<file path=xl/sharedStrings.xml><?xml version="1.0" encoding="utf-8"?>
<sst xmlns="http://schemas.openxmlformats.org/spreadsheetml/2006/main" count="46" uniqueCount="32">
  <si>
    <t>Item Code</t>
  </si>
  <si>
    <t>F39</t>
  </si>
  <si>
    <t>F31</t>
  </si>
  <si>
    <t>Item Description</t>
  </si>
  <si>
    <t>FIREWORKS DRAGON EYE OF OSIRISF39 DOSIRIS (BOX)</t>
  </si>
  <si>
    <t>FIREWORKS DRAGON CODE OF BUSHIDO F31 DCODE (BOX)</t>
  </si>
  <si>
    <t xml:space="preserve">Date </t>
  </si>
  <si>
    <t>Retail Price(Customer)</t>
  </si>
  <si>
    <t>Base Price(Payable)</t>
  </si>
  <si>
    <t>Comm</t>
  </si>
  <si>
    <t>Total Retail</t>
  </si>
  <si>
    <t>Total Base</t>
  </si>
  <si>
    <t>Total Comm</t>
  </si>
  <si>
    <t>PENDING</t>
  </si>
  <si>
    <t>DONE</t>
  </si>
  <si>
    <t>AGENT</t>
  </si>
  <si>
    <t>JOE</t>
  </si>
  <si>
    <t>ANGELICA SANTOS</t>
  </si>
  <si>
    <t>Ordered Quantity</t>
  </si>
  <si>
    <t>JOHN POY</t>
  </si>
  <si>
    <t>C08</t>
  </si>
  <si>
    <t>C05</t>
  </si>
  <si>
    <t>E02</t>
  </si>
  <si>
    <t>FIREWORKS DRAGON WISHING WELLC05 DWISH (TUBE)</t>
  </si>
  <si>
    <t>FIREWORKS DRAGON DANCE OF THEFIREFLIES C08 DDANCE (BOX)</t>
  </si>
  <si>
    <t>FIREWORKS DRAGON WHISTLING ROCKETS E02 DWR (PCK)</t>
  </si>
  <si>
    <t>FIREWORKS DRAGON FAIRY STICKSB01 DFS (BOX)</t>
  </si>
  <si>
    <t>B01</t>
  </si>
  <si>
    <t>A04</t>
  </si>
  <si>
    <t>FIREWORKS DRAGON LUCKY RINGS A04 DLT (PCK)</t>
  </si>
  <si>
    <t>FIREWORKS DRAGON SERENITY FOUNTAIN C02 SSF (BOX)</t>
  </si>
  <si>
    <t>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</si>
</sst>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1"/>
      <color rgb="FFFF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14" fontId="2" fillId="3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2" fillId="3" borderId="1" xfId="1" applyFont="1" applyFill="1" applyBorder="1"/>
    <xf numFmtId="164" fontId="2" fillId="2" borderId="1" xfId="1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14" fontId="3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164" fontId="3" fillId="0" borderId="1" xfId="1" applyFont="1" applyBorder="1"/>
    <xf numFmtId="0" fontId="3" fillId="0" borderId="1" xfId="0" applyFont="1" applyBorder="1" applyAlignment="1">
      <alignment horizontal="center" vertical="center"/>
    </xf>
    <xf numFmtId="43" fontId="3" fillId="0" borderId="1" xfId="0" applyNumberFormat="1" applyFont="1" applyBorder="1"/>
    <xf numFmtId="0" fontId="3" fillId="0" borderId="0" xfId="0" applyFont="1"/>
    <xf numFmtId="14" fontId="3" fillId="0" borderId="0" xfId="0" applyNumberFormat="1" applyFont="1"/>
    <xf numFmtId="0" fontId="2" fillId="0" borderId="0" xfId="0" applyFont="1" applyAlignment="1">
      <alignment horizontal="center" vertical="center"/>
    </xf>
    <xf numFmtId="164" fontId="3" fillId="0" borderId="0" xfId="1" applyFont="1"/>
    <xf numFmtId="0" fontId="4" fillId="2" borderId="1" xfId="0" applyFont="1" applyFill="1" applyBorder="1" applyAlignment="1">
      <alignment horizontal="center" vertical="center"/>
    </xf>
    <xf numFmtId="164" fontId="4" fillId="2" borderId="1" xfId="1" applyFont="1" applyFill="1" applyBorder="1"/>
    <xf numFmtId="164" fontId="4" fillId="2" borderId="2" xfId="1" applyFont="1" applyFill="1" applyBorder="1"/>
    <xf numFmtId="164" fontId="2" fillId="0" borderId="0" xfId="1" applyFont="1"/>
    <xf numFmtId="0" fontId="3" fillId="0" borderId="0" xfId="0" applyFont="1" applyAlignment="1">
      <alignment horizontal="center" vertical="center"/>
    </xf>
    <xf numFmtId="14" fontId="3" fillId="4" borderId="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164" fontId="3" fillId="4" borderId="1" xfId="1" applyFont="1" applyFill="1" applyBorder="1"/>
    <xf numFmtId="0" fontId="3" fillId="4" borderId="1" xfId="0" applyFont="1" applyFill="1" applyBorder="1" applyAlignment="1">
      <alignment horizontal="center" vertical="center"/>
    </xf>
    <xf numFmtId="43" fontId="3" fillId="4" borderId="1" xfId="0" applyNumberFormat="1" applyFont="1" applyFill="1" applyBorder="1"/>
    <xf numFmtId="0" fontId="2" fillId="4" borderId="1" xfId="0" applyFont="1" applyFill="1" applyBorder="1"/>
    <xf numFmtId="164" fontId="2" fillId="4" borderId="1" xfId="1" applyFont="1" applyFill="1" applyBorder="1"/>
    <xf numFmtId="0" fontId="2" fillId="4" borderId="1" xfId="0" applyFont="1" applyFill="1" applyBorder="1" applyAlignment="1">
      <alignment horizontal="center"/>
    </xf>
    <xf numFmtId="14" fontId="2" fillId="4" borderId="3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  <xf numFmtId="14" fontId="5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20"/>
  <sheetViews>
    <sheetView tabSelected="1" workbookViewId="0">
      <selection activeCell="C20" sqref="C20"/>
    </sheetView>
  </sheetViews>
  <sheetFormatPr defaultRowHeight="16.5" x14ac:dyDescent="0.3"/>
  <cols>
    <col min="1" max="1" width="12.140625" style="15" bestFit="1" customWidth="1"/>
    <col min="2" max="2" width="12.140625" style="16" bestFit="1" customWidth="1"/>
    <col min="3" max="3" width="70.140625" style="14" bestFit="1" customWidth="1"/>
    <col min="4" max="4" width="26.7109375" style="17" bestFit="1" customWidth="1"/>
    <col min="5" max="5" width="24.42578125" style="17" bestFit="1" customWidth="1"/>
    <col min="6" max="6" width="9.85546875" style="17" bestFit="1" customWidth="1"/>
    <col min="7" max="7" width="19.7109375" style="22" bestFit="1" customWidth="1"/>
    <col min="8" max="8" width="14.140625" style="17" bestFit="1" customWidth="1"/>
    <col min="9" max="9" width="13.28515625" style="17" bestFit="1" customWidth="1"/>
    <col min="10" max="10" width="15.42578125" style="17" bestFit="1" customWidth="1"/>
    <col min="11" max="12" width="11.85546875" style="14" bestFit="1" customWidth="1"/>
    <col min="13" max="16384" width="9.140625" style="14"/>
  </cols>
  <sheetData>
    <row r="4" spans="1:12" s="7" customFormat="1" ht="14.25" x14ac:dyDescent="0.2">
      <c r="A4" s="1" t="s">
        <v>6</v>
      </c>
      <c r="B4" s="2" t="s">
        <v>0</v>
      </c>
      <c r="C4" s="3" t="s">
        <v>3</v>
      </c>
      <c r="D4" s="4" t="s">
        <v>7</v>
      </c>
      <c r="E4" s="4" t="s">
        <v>8</v>
      </c>
      <c r="F4" s="5" t="s">
        <v>9</v>
      </c>
      <c r="G4" s="2" t="s">
        <v>18</v>
      </c>
      <c r="H4" s="5" t="s">
        <v>10</v>
      </c>
      <c r="I4" s="5" t="s">
        <v>11</v>
      </c>
      <c r="J4" s="5" t="s">
        <v>12</v>
      </c>
      <c r="K4" s="6" t="s">
        <v>15</v>
      </c>
      <c r="L4" s="6" t="s">
        <v>16</v>
      </c>
    </row>
    <row r="5" spans="1:12" s="7" customFormat="1" ht="14.25" x14ac:dyDescent="0.2">
      <c r="A5" s="32" t="s">
        <v>17</v>
      </c>
      <c r="B5" s="33"/>
      <c r="C5" s="29"/>
      <c r="D5" s="30"/>
      <c r="E5" s="30"/>
      <c r="F5" s="30"/>
      <c r="G5" s="24"/>
      <c r="H5" s="30"/>
      <c r="I5" s="30"/>
      <c r="J5" s="30"/>
      <c r="K5" s="31"/>
      <c r="L5" s="31"/>
    </row>
    <row r="6" spans="1:12" x14ac:dyDescent="0.3">
      <c r="A6" s="8">
        <v>44153</v>
      </c>
      <c r="B6" s="9" t="s">
        <v>1</v>
      </c>
      <c r="C6" s="10" t="s">
        <v>4</v>
      </c>
      <c r="D6" s="11">
        <v>1386</v>
      </c>
      <c r="E6" s="11">
        <v>924</v>
      </c>
      <c r="F6" s="11">
        <f t="shared" ref="F6:F8" si="0">D6-E6</f>
        <v>462</v>
      </c>
      <c r="G6" s="12">
        <v>7</v>
      </c>
      <c r="H6" s="11">
        <f t="shared" ref="H6:H8" si="1">D6*G6</f>
        <v>9702</v>
      </c>
      <c r="I6" s="11">
        <f>E6*G6</f>
        <v>6468</v>
      </c>
      <c r="J6" s="11">
        <f t="shared" ref="J6:J8" si="2">H6-I6</f>
        <v>3234</v>
      </c>
      <c r="K6" s="13">
        <f t="shared" ref="K6:K8" si="3">J6/100*60</f>
        <v>1940.4</v>
      </c>
      <c r="L6" s="13">
        <f t="shared" ref="L6:L8" si="4">J6/100*40</f>
        <v>1293.6000000000001</v>
      </c>
    </row>
    <row r="7" spans="1:12" x14ac:dyDescent="0.3">
      <c r="A7" s="8">
        <v>44153</v>
      </c>
      <c r="B7" s="9" t="s">
        <v>2</v>
      </c>
      <c r="C7" s="10" t="s">
        <v>5</v>
      </c>
      <c r="D7" s="11">
        <v>1386</v>
      </c>
      <c r="E7" s="11">
        <v>924</v>
      </c>
      <c r="F7" s="11">
        <f t="shared" si="0"/>
        <v>462</v>
      </c>
      <c r="G7" s="12">
        <v>8</v>
      </c>
      <c r="H7" s="11">
        <f t="shared" si="1"/>
        <v>11088</v>
      </c>
      <c r="I7" s="11">
        <f t="shared" ref="I7:I8" si="5">E7*G7</f>
        <v>7392</v>
      </c>
      <c r="J7" s="11">
        <f t="shared" si="2"/>
        <v>3696</v>
      </c>
      <c r="K7" s="13">
        <f t="shared" si="3"/>
        <v>2217.6</v>
      </c>
      <c r="L7" s="13">
        <f t="shared" si="4"/>
        <v>1478.4</v>
      </c>
    </row>
    <row r="8" spans="1:12" x14ac:dyDescent="0.3">
      <c r="A8" s="23"/>
      <c r="B8" s="24"/>
      <c r="C8" s="25"/>
      <c r="D8" s="26"/>
      <c r="E8" s="26"/>
      <c r="F8" s="26">
        <f t="shared" si="0"/>
        <v>0</v>
      </c>
      <c r="G8" s="27"/>
      <c r="H8" s="26">
        <f t="shared" si="1"/>
        <v>0</v>
      </c>
      <c r="I8" s="26">
        <f t="shared" si="5"/>
        <v>0</v>
      </c>
      <c r="J8" s="26">
        <f t="shared" si="2"/>
        <v>0</v>
      </c>
      <c r="K8" s="28">
        <f t="shared" si="3"/>
        <v>0</v>
      </c>
      <c r="L8" s="28">
        <f t="shared" si="4"/>
        <v>0</v>
      </c>
    </row>
    <row r="9" spans="1:12" x14ac:dyDescent="0.3">
      <c r="G9" s="18" t="s">
        <v>12</v>
      </c>
      <c r="H9" s="19">
        <f>SUM(H6:H8)</f>
        <v>20790</v>
      </c>
      <c r="I9" s="19">
        <f>SUM(I6:I8)</f>
        <v>13860</v>
      </c>
      <c r="J9" s="19">
        <f>SUM(J6:J8)</f>
        <v>6930</v>
      </c>
      <c r="K9" s="20">
        <f>SUM(K6:K8)</f>
        <v>4158</v>
      </c>
      <c r="L9" s="20">
        <f>SUM(L6:L8)</f>
        <v>2772</v>
      </c>
    </row>
    <row r="10" spans="1:12" x14ac:dyDescent="0.3">
      <c r="G10" s="16"/>
      <c r="H10" s="21"/>
      <c r="I10" s="21"/>
      <c r="J10" s="21"/>
    </row>
    <row r="11" spans="1:12" x14ac:dyDescent="0.3">
      <c r="A11" s="1" t="s">
        <v>6</v>
      </c>
      <c r="B11" s="2" t="s">
        <v>0</v>
      </c>
      <c r="C11" s="3" t="s">
        <v>3</v>
      </c>
      <c r="D11" s="4" t="s">
        <v>7</v>
      </c>
      <c r="E11" s="4" t="s">
        <v>8</v>
      </c>
      <c r="F11" s="5" t="s">
        <v>9</v>
      </c>
      <c r="G11" s="2" t="s">
        <v>18</v>
      </c>
      <c r="H11" s="5" t="s">
        <v>10</v>
      </c>
      <c r="I11" s="5" t="s">
        <v>11</v>
      </c>
      <c r="J11" s="5" t="s">
        <v>12</v>
      </c>
      <c r="K11" s="6" t="s">
        <v>15</v>
      </c>
      <c r="L11" s="6" t="s">
        <v>16</v>
      </c>
    </row>
    <row r="12" spans="1:12" x14ac:dyDescent="0.3">
      <c r="A12" s="32" t="s">
        <v>19</v>
      </c>
      <c r="B12" s="33"/>
      <c r="C12" s="29"/>
      <c r="D12" s="30"/>
      <c r="E12" s="30"/>
      <c r="F12" s="30"/>
      <c r="G12" s="24"/>
      <c r="H12" s="30"/>
      <c r="I12" s="30"/>
      <c r="J12" s="30"/>
      <c r="K12" s="31"/>
      <c r="L12" s="31"/>
    </row>
    <row r="13" spans="1:12" x14ac:dyDescent="0.3">
      <c r="A13" s="8"/>
      <c r="B13" s="9" t="s">
        <v>28</v>
      </c>
      <c r="C13" s="10" t="s">
        <v>29</v>
      </c>
      <c r="D13" s="11">
        <v>158</v>
      </c>
      <c r="E13" s="11">
        <v>105</v>
      </c>
      <c r="F13" s="11">
        <f>D13-E13</f>
        <v>53</v>
      </c>
      <c r="G13" s="12">
        <v>1</v>
      </c>
      <c r="H13" s="11">
        <f>D13*G13</f>
        <v>158</v>
      </c>
      <c r="I13" s="11">
        <f>E13*G13</f>
        <v>105</v>
      </c>
      <c r="J13" s="11">
        <f t="shared" ref="J13:J19" si="6">H13-I13</f>
        <v>53</v>
      </c>
      <c r="K13" s="13">
        <f t="shared" ref="K13:K19" si="7">J13/100*60</f>
        <v>31.8</v>
      </c>
      <c r="L13" s="13">
        <f t="shared" ref="L13:L19" si="8">J13/100*40</f>
        <v>21.200000000000003</v>
      </c>
    </row>
    <row r="14" spans="1:12" x14ac:dyDescent="0.3">
      <c r="A14" s="8"/>
      <c r="B14" s="9" t="s">
        <v>22</v>
      </c>
      <c r="C14" s="10" t="s">
        <v>25</v>
      </c>
      <c r="D14" s="11">
        <v>206</v>
      </c>
      <c r="E14" s="11">
        <v>137</v>
      </c>
      <c r="F14" s="11">
        <f>D14-E14</f>
        <v>69</v>
      </c>
      <c r="G14" s="12">
        <v>1</v>
      </c>
      <c r="H14" s="11">
        <f>D14*G14</f>
        <v>206</v>
      </c>
      <c r="I14" s="11">
        <f>E14*G14</f>
        <v>137</v>
      </c>
      <c r="J14" s="11">
        <f t="shared" ref="J14:J18" si="9">H14-I14</f>
        <v>69</v>
      </c>
      <c r="K14" s="13">
        <f t="shared" ref="K14:K18" si="10">J14/100*60</f>
        <v>41.4</v>
      </c>
      <c r="L14" s="13">
        <f t="shared" ref="L14:L18" si="11">J14/100*40</f>
        <v>27.599999999999998</v>
      </c>
    </row>
    <row r="15" spans="1:12" x14ac:dyDescent="0.3">
      <c r="A15" s="34"/>
      <c r="B15" s="9" t="s">
        <v>27</v>
      </c>
      <c r="C15" s="10" t="s">
        <v>26</v>
      </c>
      <c r="D15" s="11">
        <v>63</v>
      </c>
      <c r="E15" s="11">
        <v>42</v>
      </c>
      <c r="F15" s="11">
        <f t="shared" ref="F15:F18" si="12">D15-E15</f>
        <v>21</v>
      </c>
      <c r="G15" s="12">
        <v>1</v>
      </c>
      <c r="H15" s="11">
        <f t="shared" ref="H15:H18" si="13">D15*G15</f>
        <v>63</v>
      </c>
      <c r="I15" s="11">
        <f t="shared" ref="I15:I18" si="14">E15*G15</f>
        <v>42</v>
      </c>
      <c r="J15" s="11">
        <f t="shared" ref="J15" si="15">H15-I15</f>
        <v>21</v>
      </c>
      <c r="K15" s="13">
        <f t="shared" ref="K15" si="16">J15/100*60</f>
        <v>12.6</v>
      </c>
      <c r="L15" s="13">
        <f t="shared" ref="L15" si="17">J15/100*40</f>
        <v>8.4</v>
      </c>
    </row>
    <row r="16" spans="1:12" x14ac:dyDescent="0.3">
      <c r="A16" s="8"/>
      <c r="B16" s="9" t="s">
        <v>31</v>
      </c>
      <c r="C16" s="10" t="s">
        <v>30</v>
      </c>
      <c r="D16" s="11">
        <v>552</v>
      </c>
      <c r="E16" s="11">
        <v>368</v>
      </c>
      <c r="F16" s="11">
        <f t="shared" si="12"/>
        <v>184</v>
      </c>
      <c r="G16" s="12">
        <v>1</v>
      </c>
      <c r="H16" s="11">
        <f t="shared" si="13"/>
        <v>552</v>
      </c>
      <c r="I16" s="11">
        <f t="shared" si="14"/>
        <v>368</v>
      </c>
      <c r="J16" s="11">
        <f t="shared" si="9"/>
        <v>184</v>
      </c>
      <c r="K16" s="13">
        <f t="shared" si="10"/>
        <v>110.4</v>
      </c>
      <c r="L16" s="13">
        <f t="shared" si="11"/>
        <v>73.600000000000009</v>
      </c>
    </row>
    <row r="17" spans="1:12" x14ac:dyDescent="0.3">
      <c r="A17" s="8"/>
      <c r="B17" s="16" t="s">
        <v>21</v>
      </c>
      <c r="C17" s="10" t="s">
        <v>23</v>
      </c>
      <c r="D17" s="11">
        <v>552</v>
      </c>
      <c r="E17" s="11">
        <v>368</v>
      </c>
      <c r="F17" s="11">
        <f t="shared" si="12"/>
        <v>184</v>
      </c>
      <c r="G17" s="12">
        <v>1</v>
      </c>
      <c r="H17" s="11">
        <f t="shared" si="13"/>
        <v>552</v>
      </c>
      <c r="I17" s="11">
        <f t="shared" si="14"/>
        <v>368</v>
      </c>
      <c r="J17" s="11">
        <f t="shared" si="9"/>
        <v>184</v>
      </c>
      <c r="K17" s="13">
        <f t="shared" si="10"/>
        <v>110.4</v>
      </c>
      <c r="L17" s="13">
        <f t="shared" si="11"/>
        <v>73.600000000000009</v>
      </c>
    </row>
    <row r="18" spans="1:12" x14ac:dyDescent="0.3">
      <c r="A18" s="8"/>
      <c r="B18" s="9" t="s">
        <v>20</v>
      </c>
      <c r="C18" s="10" t="s">
        <v>24</v>
      </c>
      <c r="D18" s="11">
        <v>552</v>
      </c>
      <c r="E18" s="11">
        <v>368</v>
      </c>
      <c r="F18" s="11">
        <f t="shared" si="12"/>
        <v>184</v>
      </c>
      <c r="G18" s="12">
        <v>1</v>
      </c>
      <c r="H18" s="11">
        <f t="shared" si="13"/>
        <v>552</v>
      </c>
      <c r="I18" s="11">
        <f t="shared" si="14"/>
        <v>368</v>
      </c>
      <c r="J18" s="11">
        <f t="shared" si="9"/>
        <v>184</v>
      </c>
      <c r="K18" s="13">
        <f t="shared" si="10"/>
        <v>110.4</v>
      </c>
      <c r="L18" s="13">
        <f t="shared" si="11"/>
        <v>73.600000000000009</v>
      </c>
    </row>
    <row r="19" spans="1:12" x14ac:dyDescent="0.3">
      <c r="A19" s="23"/>
      <c r="B19" s="24"/>
      <c r="C19" s="25"/>
      <c r="D19" s="26"/>
      <c r="E19" s="26"/>
      <c r="F19" s="26">
        <f t="shared" ref="F19" si="18">D19-E19</f>
        <v>0</v>
      </c>
      <c r="G19" s="27"/>
      <c r="H19" s="26">
        <f t="shared" ref="H19" si="19">D19*G19</f>
        <v>0</v>
      </c>
      <c r="I19" s="26">
        <f t="shared" ref="I19" si="20">E19*G19</f>
        <v>0</v>
      </c>
      <c r="J19" s="26">
        <f t="shared" si="6"/>
        <v>0</v>
      </c>
      <c r="K19" s="28">
        <f t="shared" si="7"/>
        <v>0</v>
      </c>
      <c r="L19" s="28">
        <f t="shared" si="8"/>
        <v>0</v>
      </c>
    </row>
    <row r="20" spans="1:12" x14ac:dyDescent="0.3">
      <c r="G20" s="18" t="s">
        <v>12</v>
      </c>
      <c r="H20" s="19">
        <f>SUM(H13:H19)</f>
        <v>2083</v>
      </c>
      <c r="I20" s="19">
        <f>SUM(I13:I19)</f>
        <v>1388</v>
      </c>
      <c r="J20" s="19">
        <f>SUM(J13:J19)</f>
        <v>695</v>
      </c>
      <c r="K20" s="20">
        <f>SUM(K13:K19)</f>
        <v>417</v>
      </c>
      <c r="L20" s="20">
        <f>SUM(L13:L19)</f>
        <v>278.00000000000006</v>
      </c>
    </row>
  </sheetData>
  <mergeCells count="2">
    <mergeCell ref="A5:B5"/>
    <mergeCell ref="A12:B12"/>
  </mergeCells>
  <pageMargins left="0.7" right="0.7" top="0.75" bottom="0.75" header="0.3" footer="0.3"/>
  <pageSetup paperSize="2321" orientation="portrait" horizontalDpi="16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Angelica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PROGRAMMER</dc:creator>
  <cp:lastModifiedBy>PROGRAMMER</cp:lastModifiedBy>
  <dcterms:created xsi:type="dcterms:W3CDTF">2020-11-06T06:35:41Z</dcterms:created>
  <dcterms:modified xsi:type="dcterms:W3CDTF">2020-12-11T07:32:16Z</dcterms:modified>
</cp:coreProperties>
</file>