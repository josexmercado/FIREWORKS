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Fireworks gaming\"/>
    </mc:Choice>
  </mc:AlternateContent>
  <bookViews>
    <workbookView xWindow="0" yWindow="0" windowWidth="28800" windowHeight="12435"/>
  </bookViews>
  <sheets>
    <sheet name="Angelica" sheetId="1" r:id="rId1"/>
    <sheet name="Sheet2" sheetId="3" r:id="rId2"/>
    <sheet name="Sheet1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8" i="1" l="1"/>
  <c r="I28" i="1"/>
  <c r="J28" i="1" s="1"/>
  <c r="H28" i="1"/>
  <c r="H50" i="1"/>
  <c r="H48" i="1"/>
  <c r="I48" i="1"/>
  <c r="F47" i="1"/>
  <c r="H47" i="1"/>
  <c r="I47" i="1"/>
  <c r="F48" i="1"/>
  <c r="H46" i="1"/>
  <c r="F29" i="1"/>
  <c r="H29" i="1"/>
  <c r="I29" i="1"/>
  <c r="F30" i="1"/>
  <c r="H30" i="1"/>
  <c r="I30" i="1"/>
  <c r="F31" i="1"/>
  <c r="H31" i="1"/>
  <c r="I31" i="1"/>
  <c r="F32" i="1"/>
  <c r="H32" i="1"/>
  <c r="I32" i="1"/>
  <c r="F33" i="1"/>
  <c r="H33" i="1"/>
  <c r="I33" i="1"/>
  <c r="F34" i="1"/>
  <c r="H34" i="1"/>
  <c r="I34" i="1"/>
  <c r="K28" i="1" l="1"/>
  <c r="J48" i="1"/>
  <c r="K48" i="1" s="1"/>
  <c r="L48" i="1"/>
  <c r="J47" i="1"/>
  <c r="K47" i="1" s="1"/>
  <c r="J33" i="1"/>
  <c r="K33" i="1" s="1"/>
  <c r="J29" i="1"/>
  <c r="K29" i="1" s="1"/>
  <c r="J31" i="1"/>
  <c r="K31" i="1" s="1"/>
  <c r="J34" i="1"/>
  <c r="K34" i="1" s="1"/>
  <c r="J32" i="1"/>
  <c r="L32" i="1" s="1"/>
  <c r="J30" i="1"/>
  <c r="K30" i="1" s="1"/>
  <c r="L31" i="1"/>
  <c r="I46" i="1"/>
  <c r="F46" i="1"/>
  <c r="F45" i="1"/>
  <c r="H45" i="1"/>
  <c r="I45" i="1"/>
  <c r="H44" i="1"/>
  <c r="I44" i="1"/>
  <c r="F44" i="1"/>
  <c r="L33" i="1" l="1"/>
  <c r="K32" i="1"/>
  <c r="L29" i="1"/>
  <c r="L30" i="1"/>
  <c r="L47" i="1"/>
  <c r="L34" i="1"/>
  <c r="J46" i="1"/>
  <c r="K46" i="1" s="1"/>
  <c r="J44" i="1"/>
  <c r="K44" i="1" s="1"/>
  <c r="J45" i="1"/>
  <c r="K45" i="1" s="1"/>
  <c r="H42" i="1"/>
  <c r="I42" i="1"/>
  <c r="I43" i="1"/>
  <c r="I50" i="1"/>
  <c r="H43" i="1"/>
  <c r="F43" i="1"/>
  <c r="F42" i="1"/>
  <c r="I41" i="1"/>
  <c r="H41" i="1"/>
  <c r="F41" i="1"/>
  <c r="I51" i="1"/>
  <c r="F50" i="1"/>
  <c r="J42" i="1" l="1"/>
  <c r="H51" i="1"/>
  <c r="L46" i="1"/>
  <c r="L44" i="1"/>
  <c r="L45" i="1"/>
  <c r="J43" i="1"/>
  <c r="K43" i="1" s="1"/>
  <c r="L42" i="1"/>
  <c r="K42" i="1"/>
  <c r="J41" i="1"/>
  <c r="L41" i="1" s="1"/>
  <c r="J50" i="1"/>
  <c r="L50" i="1" s="1"/>
  <c r="F22" i="1"/>
  <c r="J51" i="1" l="1"/>
  <c r="L43" i="1"/>
  <c r="K41" i="1"/>
  <c r="K51" i="1" s="1"/>
  <c r="K50" i="1"/>
  <c r="H19" i="1"/>
  <c r="I19" i="1"/>
  <c r="F19" i="1"/>
  <c r="H18" i="1"/>
  <c r="I18" i="1"/>
  <c r="F18" i="1"/>
  <c r="H20" i="1"/>
  <c r="I20" i="1"/>
  <c r="F20" i="1"/>
  <c r="I35" i="1"/>
  <c r="H35" i="1"/>
  <c r="F35" i="1"/>
  <c r="F28" i="1"/>
  <c r="L51" i="1" l="1"/>
  <c r="J35" i="1"/>
  <c r="L35" i="1" s="1"/>
  <c r="J19" i="1"/>
  <c r="K19" i="1" s="1"/>
  <c r="J18" i="1"/>
  <c r="L18" i="1" s="1"/>
  <c r="J20" i="1"/>
  <c r="L20" i="1" s="1"/>
  <c r="I36" i="1"/>
  <c r="O42" i="1" s="1"/>
  <c r="H36" i="1"/>
  <c r="O35" i="1" s="1"/>
  <c r="F15" i="1"/>
  <c r="I15" i="1"/>
  <c r="H15" i="1"/>
  <c r="K35" i="1" l="1"/>
  <c r="L19" i="1"/>
  <c r="K18" i="1"/>
  <c r="K20" i="1"/>
  <c r="J36" i="1"/>
  <c r="J15" i="1"/>
  <c r="L15" i="1" s="1"/>
  <c r="H14" i="1"/>
  <c r="I14" i="1"/>
  <c r="H16" i="1"/>
  <c r="I16" i="1"/>
  <c r="H17" i="1"/>
  <c r="I17" i="1"/>
  <c r="H21" i="1"/>
  <c r="I21" i="1"/>
  <c r="F14" i="1"/>
  <c r="F16" i="1"/>
  <c r="F17" i="1"/>
  <c r="F21" i="1"/>
  <c r="F13" i="1"/>
  <c r="H13" i="1"/>
  <c r="I13" i="1"/>
  <c r="I22" i="1"/>
  <c r="H22" i="1"/>
  <c r="K36" i="1" l="1"/>
  <c r="L36" i="1"/>
  <c r="K15" i="1"/>
  <c r="J16" i="1"/>
  <c r="L16" i="1" s="1"/>
  <c r="J17" i="1"/>
  <c r="K17" i="1" s="1"/>
  <c r="J21" i="1"/>
  <c r="K21" i="1" s="1"/>
  <c r="J14" i="1"/>
  <c r="L14" i="1" s="1"/>
  <c r="J22" i="1"/>
  <c r="L22" i="1" s="1"/>
  <c r="H23" i="1"/>
  <c r="I23" i="1"/>
  <c r="J13" i="1"/>
  <c r="K13" i="1" s="1"/>
  <c r="I8" i="1"/>
  <c r="H8" i="1"/>
  <c r="F8" i="1"/>
  <c r="K22" i="1" l="1"/>
  <c r="K16" i="1"/>
  <c r="L17" i="1"/>
  <c r="K14" i="1"/>
  <c r="L21" i="1"/>
  <c r="L13" i="1"/>
  <c r="J23" i="1"/>
  <c r="J8" i="1"/>
  <c r="L8" i="1" s="1"/>
  <c r="I6" i="1"/>
  <c r="I7" i="1"/>
  <c r="H6" i="1"/>
  <c r="H7" i="1"/>
  <c r="F6" i="1"/>
  <c r="F7" i="1"/>
  <c r="K23" i="1" l="1"/>
  <c r="L23" i="1"/>
  <c r="J7" i="1"/>
  <c r="K7" i="1" s="1"/>
  <c r="K8" i="1"/>
  <c r="H9" i="1"/>
  <c r="I9" i="1"/>
  <c r="J6" i="1"/>
  <c r="L7" i="1" l="1"/>
  <c r="J9" i="1"/>
  <c r="L6" i="1"/>
  <c r="K6" i="1"/>
  <c r="K9" i="1" s="1"/>
  <c r="L9" i="1" l="1"/>
</calcChain>
</file>

<file path=xl/sharedStrings.xml><?xml version="1.0" encoding="utf-8"?>
<sst xmlns="http://schemas.openxmlformats.org/spreadsheetml/2006/main" count="100" uniqueCount="57">
  <si>
    <t>Item Code</t>
  </si>
  <si>
    <t>F39</t>
  </si>
  <si>
    <t>F31</t>
  </si>
  <si>
    <t>Item Description</t>
  </si>
  <si>
    <t>FIREWORKS DRAGON EYE OF OSIRISF39 DOSIRIS (BOX)</t>
  </si>
  <si>
    <t>FIREWORKS DRAGON CODE OF BUSHIDO F31 DCODE (BOX)</t>
  </si>
  <si>
    <t xml:space="preserve">Date </t>
  </si>
  <si>
    <t>Retail Price(Customer)</t>
  </si>
  <si>
    <t>Base Price(Payable)</t>
  </si>
  <si>
    <t>Comm</t>
  </si>
  <si>
    <t>Total Retail</t>
  </si>
  <si>
    <t>Total Base</t>
  </si>
  <si>
    <t>Total Comm</t>
  </si>
  <si>
    <t>PENDING</t>
  </si>
  <si>
    <t>DONE</t>
  </si>
  <si>
    <t>AGENT</t>
  </si>
  <si>
    <t>JOE</t>
  </si>
  <si>
    <t>ANGELICA SANTOS</t>
  </si>
  <si>
    <t>Ordered Quantity</t>
  </si>
  <si>
    <t>C08</t>
  </si>
  <si>
    <t>C05</t>
  </si>
  <si>
    <t>E02</t>
  </si>
  <si>
    <t>FIREWORKS DRAGON WISHING WELLC05 DWISH (TUBE)</t>
  </si>
  <si>
    <t>FIREWORKS DRAGON DANCE OF THEFIREFLIES C08 DDANCE (BOX)</t>
  </si>
  <si>
    <t>FIREWORKS DRAGON WHISTLING ROCKETS E02 DWR (PCK)</t>
  </si>
  <si>
    <t>FIREWORKS DRAGON FAIRY STICKSB01 DFS (BOX)</t>
  </si>
  <si>
    <t>B01</t>
  </si>
  <si>
    <t>A04</t>
  </si>
  <si>
    <t>FIREWORKS DRAGON LUCKY RINGS A04 DLT (PCK)</t>
  </si>
  <si>
    <t>FIREWORKS DRAGON SERENITY FOUNTAIN C02 SSF (BOX)</t>
  </si>
  <si>
    <t>C02</t>
  </si>
  <si>
    <t>B03</t>
  </si>
  <si>
    <t>F40</t>
  </si>
  <si>
    <t>F37</t>
  </si>
  <si>
    <t>FIREWORKS DRAGON DRAGONLANCE B03 DL (BOX)</t>
  </si>
  <si>
    <t>FIREWORKS DRAGON GOLD OF THE AZTECS F40 DAZTEC (BOX)</t>
  </si>
  <si>
    <t>FIREWORKS DRAGON RAINBOW WARRIORS F37 DRW (BOX)</t>
  </si>
  <si>
    <t>FIREWORKS DRAGON LEGACY OF THESTARS (96) P07 DLEGACY (BOX)</t>
  </si>
  <si>
    <t>P07</t>
  </si>
  <si>
    <t>p01</t>
  </si>
  <si>
    <t>FIREWORKS DRAGON THE PRINCE OFPERSIA P01 DPRINCE (BOX)</t>
  </si>
  <si>
    <t>FIREWORKS DRAGON KNIGHTS OF THE TEMPLAR(128) P08 DTEMPLAR (BOX)</t>
  </si>
  <si>
    <t>p08</t>
  </si>
  <si>
    <t>TACURONG MANIACS</t>
  </si>
  <si>
    <t>I01</t>
  </si>
  <si>
    <t>FIREWORKS DRAGON DRAGONBEES I01 DB (PCK)</t>
  </si>
  <si>
    <t>FIREWORKS DRAGON TREASURE CHEST (225SHOTS) J04 DTC (BOX)</t>
  </si>
  <si>
    <t>TicketDAte</t>
  </si>
  <si>
    <t>j04</t>
  </si>
  <si>
    <t>A03</t>
  </si>
  <si>
    <t>FIREWORKS DRAGON ARTILLERY TANK A03 DAT (PCK)</t>
  </si>
  <si>
    <t>J16</t>
  </si>
  <si>
    <t>FIREWORKS DRAGON TRIPLE SHOOTER GOLDEN CROWN J16 DBRO (BOX)</t>
  </si>
  <si>
    <t>FIREWORKS DRAGON TRIDENT OF STORMS F49 DTRIDENT (BOX)</t>
  </si>
  <si>
    <t>f49</t>
  </si>
  <si>
    <t>g05</t>
  </si>
  <si>
    <t>FIREWORKS DRAGON AERIAL SYMPHONY COCO (2") G05 DASYM/COCO (BOX)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</si>
</sst>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1"/>
      <color rgb="FFFF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14" fontId="2" fillId="3" borderId="1" xfId="0" applyNumberFormat="1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43" fontId="2" fillId="3" borderId="1" xfId="1" applyFont="1" applyFill="1" applyBorder="1"/>
    <xf numFmtId="43" fontId="2" fillId="2" borderId="1" xfId="1" applyFont="1" applyFill="1" applyBorder="1"/>
    <xf numFmtId="0" fontId="2" fillId="2" borderId="1" xfId="0" applyFont="1" applyFill="1" applyBorder="1" applyAlignment="1">
      <alignment horizontal="center"/>
    </xf>
    <xf numFmtId="0" fontId="2" fillId="0" borderId="0" xfId="0" applyFont="1"/>
    <xf numFmtId="14" fontId="3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43" fontId="3" fillId="0" borderId="1" xfId="1" applyFont="1" applyBorder="1"/>
    <xf numFmtId="0" fontId="3" fillId="0" borderId="1" xfId="0" applyFont="1" applyBorder="1" applyAlignment="1">
      <alignment horizontal="center" vertical="center"/>
    </xf>
    <xf numFmtId="43" fontId="3" fillId="0" borderId="1" xfId="0" applyNumberFormat="1" applyFont="1" applyBorder="1"/>
    <xf numFmtId="0" fontId="3" fillId="0" borderId="0" xfId="0" applyFont="1"/>
    <xf numFmtId="14" fontId="3" fillId="0" borderId="0" xfId="0" applyNumberFormat="1" applyFont="1"/>
    <xf numFmtId="0" fontId="2" fillId="0" borderId="0" xfId="0" applyFont="1" applyAlignment="1">
      <alignment horizontal="center" vertical="center"/>
    </xf>
    <xf numFmtId="43" fontId="3" fillId="0" borderId="0" xfId="1" applyFont="1"/>
    <xf numFmtId="0" fontId="4" fillId="2" borderId="1" xfId="0" applyFont="1" applyFill="1" applyBorder="1" applyAlignment="1">
      <alignment horizontal="center" vertical="center"/>
    </xf>
    <xf numFmtId="43" fontId="4" fillId="2" borderId="1" xfId="1" applyFont="1" applyFill="1" applyBorder="1"/>
    <xf numFmtId="43" fontId="4" fillId="2" borderId="2" xfId="1" applyFont="1" applyFill="1" applyBorder="1"/>
    <xf numFmtId="43" fontId="2" fillId="0" borderId="0" xfId="1" applyFont="1"/>
    <xf numFmtId="0" fontId="3" fillId="0" borderId="0" xfId="0" applyFont="1" applyAlignment="1">
      <alignment horizontal="center" vertical="center"/>
    </xf>
    <xf numFmtId="14" fontId="3" fillId="4" borderId="1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43" fontId="3" fillId="4" borderId="1" xfId="1" applyFont="1" applyFill="1" applyBorder="1"/>
    <xf numFmtId="0" fontId="3" fillId="4" borderId="1" xfId="0" applyFont="1" applyFill="1" applyBorder="1" applyAlignment="1">
      <alignment horizontal="center" vertical="center"/>
    </xf>
    <xf numFmtId="43" fontId="3" fillId="4" borderId="1" xfId="0" applyNumberFormat="1" applyFont="1" applyFill="1" applyBorder="1"/>
    <xf numFmtId="0" fontId="2" fillId="4" borderId="1" xfId="0" applyFont="1" applyFill="1" applyBorder="1"/>
    <xf numFmtId="43" fontId="2" fillId="4" borderId="1" xfId="1" applyFont="1" applyFill="1" applyBorder="1"/>
    <xf numFmtId="0" fontId="2" fillId="4" borderId="1" xfId="0" applyFont="1" applyFill="1" applyBorder="1" applyAlignment="1">
      <alignment horizontal="center"/>
    </xf>
    <xf numFmtId="14" fontId="5" fillId="0" borderId="1" xfId="0" applyNumberFormat="1" applyFont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2" fillId="4" borderId="3" xfId="0" applyNumberFormat="1" applyFont="1" applyFill="1" applyBorder="1" applyAlignment="1">
      <alignment horizontal="center"/>
    </xf>
    <xf numFmtId="14" fontId="2" fillId="4" borderId="4" xfId="0" applyNumberFormat="1" applyFont="1" applyFill="1" applyBorder="1" applyAlignment="1">
      <alignment horizontal="center"/>
    </xf>
    <xf numFmtId="14" fontId="2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52"/>
  <sheetViews>
    <sheetView tabSelected="1" topLeftCell="A16" zoomScale="85" zoomScaleNormal="85" workbookViewId="0">
      <selection activeCell="M31" sqref="M31"/>
    </sheetView>
  </sheetViews>
  <sheetFormatPr defaultRowHeight="16.5" x14ac:dyDescent="0.3"/>
  <cols>
    <col min="1" max="1" width="12.140625" style="15" bestFit="1" customWidth="1"/>
    <col min="2" max="2" width="12.140625" style="16" bestFit="1" customWidth="1"/>
    <col min="3" max="3" width="78.140625" style="14" bestFit="1" customWidth="1"/>
    <col min="4" max="4" width="25.5703125" style="17" customWidth="1"/>
    <col min="5" max="5" width="24.42578125" style="17" bestFit="1" customWidth="1"/>
    <col min="6" max="6" width="10.7109375" style="17" bestFit="1" customWidth="1"/>
    <col min="7" max="7" width="19.7109375" style="22" bestFit="1" customWidth="1"/>
    <col min="8" max="9" width="14.5703125" style="17" bestFit="1" customWidth="1"/>
    <col min="10" max="10" width="15.42578125" style="17" bestFit="1" customWidth="1"/>
    <col min="11" max="12" width="13.7109375" style="14" bestFit="1" customWidth="1"/>
    <col min="13" max="14" width="9.140625" style="14"/>
    <col min="15" max="15" width="11.85546875" style="17" bestFit="1" customWidth="1"/>
    <col min="16" max="16384" width="9.140625" style="14"/>
  </cols>
  <sheetData>
    <row r="4" spans="1:15" s="7" customFormat="1" ht="14.25" x14ac:dyDescent="0.2">
      <c r="A4" s="1" t="s">
        <v>6</v>
      </c>
      <c r="B4" s="2" t="s">
        <v>0</v>
      </c>
      <c r="C4" s="3" t="s">
        <v>3</v>
      </c>
      <c r="D4" s="4" t="s">
        <v>7</v>
      </c>
      <c r="E4" s="4" t="s">
        <v>8</v>
      </c>
      <c r="F4" s="5" t="s">
        <v>9</v>
      </c>
      <c r="G4" s="2" t="s">
        <v>18</v>
      </c>
      <c r="H4" s="5" t="s">
        <v>10</v>
      </c>
      <c r="I4" s="5" t="s">
        <v>11</v>
      </c>
      <c r="J4" s="5" t="s">
        <v>12</v>
      </c>
      <c r="K4" s="6" t="s">
        <v>15</v>
      </c>
      <c r="L4" s="6" t="s">
        <v>16</v>
      </c>
      <c r="O4" s="21"/>
    </row>
    <row r="5" spans="1:15" s="7" customFormat="1" ht="14.25" x14ac:dyDescent="0.2">
      <c r="A5" s="36" t="s">
        <v>17</v>
      </c>
      <c r="B5" s="37"/>
      <c r="C5" s="29"/>
      <c r="D5" s="30"/>
      <c r="E5" s="30"/>
      <c r="F5" s="30"/>
      <c r="G5" s="24"/>
      <c r="H5" s="30"/>
      <c r="I5" s="30"/>
      <c r="J5" s="30"/>
      <c r="K5" s="31"/>
      <c r="L5" s="31"/>
      <c r="O5" s="21"/>
    </row>
    <row r="6" spans="1:15" x14ac:dyDescent="0.3">
      <c r="A6" s="8">
        <v>44153</v>
      </c>
      <c r="B6" s="9" t="s">
        <v>1</v>
      </c>
      <c r="C6" s="10" t="s">
        <v>4</v>
      </c>
      <c r="D6" s="11">
        <v>1386</v>
      </c>
      <c r="E6" s="11">
        <v>924</v>
      </c>
      <c r="F6" s="11">
        <f t="shared" ref="F6:F8" si="0">D6-E6</f>
        <v>462</v>
      </c>
      <c r="G6" s="12">
        <v>15</v>
      </c>
      <c r="H6" s="11">
        <f t="shared" ref="H6:H8" si="1">D6*G6</f>
        <v>20790</v>
      </c>
      <c r="I6" s="11">
        <f>E6*G6</f>
        <v>13860</v>
      </c>
      <c r="J6" s="11">
        <f t="shared" ref="J6:J8" si="2">H6-I6</f>
        <v>6930</v>
      </c>
      <c r="K6" s="13">
        <f t="shared" ref="K6:K8" si="3">J6/100*60</f>
        <v>4158</v>
      </c>
      <c r="L6" s="13">
        <f t="shared" ref="L6:L8" si="4">J6/100*40</f>
        <v>2772</v>
      </c>
    </row>
    <row r="7" spans="1:15" x14ac:dyDescent="0.3">
      <c r="A7" s="8">
        <v>44153</v>
      </c>
      <c r="B7" s="9" t="s">
        <v>2</v>
      </c>
      <c r="C7" s="10" t="s">
        <v>5</v>
      </c>
      <c r="D7" s="11">
        <v>1386</v>
      </c>
      <c r="E7" s="11">
        <v>924</v>
      </c>
      <c r="F7" s="11">
        <f t="shared" si="0"/>
        <v>462</v>
      </c>
      <c r="G7" s="12">
        <v>4</v>
      </c>
      <c r="H7" s="11">
        <f t="shared" si="1"/>
        <v>5544</v>
      </c>
      <c r="I7" s="11">
        <f t="shared" ref="I7:I8" si="5">E7*G7</f>
        <v>3696</v>
      </c>
      <c r="J7" s="11">
        <f t="shared" si="2"/>
        <v>1848</v>
      </c>
      <c r="K7" s="13">
        <f t="shared" si="3"/>
        <v>1108.8</v>
      </c>
      <c r="L7" s="13">
        <f t="shared" si="4"/>
        <v>739.2</v>
      </c>
    </row>
    <row r="8" spans="1:15" x14ac:dyDescent="0.3">
      <c r="A8" s="23"/>
      <c r="B8" s="24"/>
      <c r="C8" s="25"/>
      <c r="D8" s="26"/>
      <c r="E8" s="26"/>
      <c r="F8" s="26">
        <f t="shared" si="0"/>
        <v>0</v>
      </c>
      <c r="G8" s="27"/>
      <c r="H8" s="26">
        <f t="shared" si="1"/>
        <v>0</v>
      </c>
      <c r="I8" s="26">
        <f t="shared" si="5"/>
        <v>0</v>
      </c>
      <c r="J8" s="26">
        <f t="shared" si="2"/>
        <v>0</v>
      </c>
      <c r="K8" s="28">
        <f t="shared" si="3"/>
        <v>0</v>
      </c>
      <c r="L8" s="28">
        <f t="shared" si="4"/>
        <v>0</v>
      </c>
    </row>
    <row r="9" spans="1:15" x14ac:dyDescent="0.3">
      <c r="G9" s="18" t="s">
        <v>12</v>
      </c>
      <c r="H9" s="19">
        <f>SUM(H6:H8)</f>
        <v>26334</v>
      </c>
      <c r="I9" s="19">
        <f>SUM(I6:I8)</f>
        <v>17556</v>
      </c>
      <c r="J9" s="19">
        <f>SUM(J6:J8)</f>
        <v>8778</v>
      </c>
      <c r="K9" s="20">
        <f>SUM(K6:K8)</f>
        <v>5266.8</v>
      </c>
      <c r="L9" s="20">
        <f>SUM(L6:L8)</f>
        <v>3511.2</v>
      </c>
    </row>
    <row r="10" spans="1:15" x14ac:dyDescent="0.3">
      <c r="G10" s="16"/>
      <c r="H10" s="21"/>
      <c r="I10" s="21"/>
      <c r="J10" s="21"/>
    </row>
    <row r="11" spans="1:15" x14ac:dyDescent="0.3">
      <c r="A11" s="1" t="s">
        <v>6</v>
      </c>
      <c r="B11" s="2" t="s">
        <v>0</v>
      </c>
      <c r="C11" s="3" t="s">
        <v>3</v>
      </c>
      <c r="D11" s="4" t="s">
        <v>7</v>
      </c>
      <c r="E11" s="4" t="s">
        <v>8</v>
      </c>
      <c r="F11" s="5" t="s">
        <v>9</v>
      </c>
      <c r="G11" s="2" t="s">
        <v>18</v>
      </c>
      <c r="H11" s="5" t="s">
        <v>10</v>
      </c>
      <c r="I11" s="5" t="s">
        <v>11</v>
      </c>
      <c r="J11" s="5" t="s">
        <v>12</v>
      </c>
      <c r="K11" s="6" t="s">
        <v>15</v>
      </c>
      <c r="L11" s="6" t="s">
        <v>16</v>
      </c>
    </row>
    <row r="12" spans="1:15" x14ac:dyDescent="0.3">
      <c r="A12" s="36" t="s">
        <v>43</v>
      </c>
      <c r="B12" s="37"/>
      <c r="C12" s="29"/>
      <c r="D12" s="30"/>
      <c r="E12" s="30"/>
      <c r="F12" s="30"/>
      <c r="G12" s="24"/>
      <c r="H12" s="30"/>
      <c r="I12" s="30"/>
      <c r="J12" s="30"/>
      <c r="K12" s="31"/>
      <c r="L12" s="31"/>
    </row>
    <row r="13" spans="1:15" x14ac:dyDescent="0.3">
      <c r="A13" s="8"/>
      <c r="B13" s="9" t="s">
        <v>27</v>
      </c>
      <c r="C13" s="10" t="s">
        <v>28</v>
      </c>
      <c r="D13" s="11">
        <v>158</v>
      </c>
      <c r="E13" s="11">
        <v>105</v>
      </c>
      <c r="F13" s="11">
        <f>D13-E13</f>
        <v>53</v>
      </c>
      <c r="G13" s="12">
        <v>30</v>
      </c>
      <c r="H13" s="11">
        <f>D13*G13</f>
        <v>4740</v>
      </c>
      <c r="I13" s="11">
        <f>E13*G13</f>
        <v>3150</v>
      </c>
      <c r="J13" s="11">
        <f t="shared" ref="J13:J22" si="6">H13-I13</f>
        <v>1590</v>
      </c>
      <c r="K13" s="13">
        <f t="shared" ref="K13:K22" si="7">J13/100*60</f>
        <v>954</v>
      </c>
      <c r="L13" s="13">
        <f t="shared" ref="L13:L22" si="8">J13/100*40</f>
        <v>636</v>
      </c>
    </row>
    <row r="14" spans="1:15" x14ac:dyDescent="0.3">
      <c r="A14" s="8"/>
      <c r="B14" s="9" t="s">
        <v>21</v>
      </c>
      <c r="C14" s="10" t="s">
        <v>24</v>
      </c>
      <c r="D14" s="11">
        <v>206</v>
      </c>
      <c r="E14" s="11">
        <v>137</v>
      </c>
      <c r="F14" s="11">
        <f>D14-E14</f>
        <v>69</v>
      </c>
      <c r="G14" s="12">
        <v>30</v>
      </c>
      <c r="H14" s="11">
        <f>D14*G14</f>
        <v>6180</v>
      </c>
      <c r="I14" s="11">
        <f>E14*G14</f>
        <v>4110</v>
      </c>
      <c r="J14" s="11">
        <f t="shared" ref="J14:J21" si="9">H14-I14</f>
        <v>2070</v>
      </c>
      <c r="K14" s="13">
        <f t="shared" ref="K14:K21" si="10">J14/100*60</f>
        <v>1242</v>
      </c>
      <c r="L14" s="13">
        <f t="shared" ref="L14:L21" si="11">J14/100*40</f>
        <v>828</v>
      </c>
    </row>
    <row r="15" spans="1:15" x14ac:dyDescent="0.3">
      <c r="A15" s="32"/>
      <c r="B15" s="9" t="s">
        <v>26</v>
      </c>
      <c r="C15" s="10" t="s">
        <v>25</v>
      </c>
      <c r="D15" s="11">
        <v>63</v>
      </c>
      <c r="E15" s="11">
        <v>42</v>
      </c>
      <c r="F15" s="11">
        <f t="shared" ref="F15:F21" si="12">D15-E15</f>
        <v>21</v>
      </c>
      <c r="G15" s="12">
        <v>30</v>
      </c>
      <c r="H15" s="11">
        <f t="shared" ref="H15:H21" si="13">D15*G15</f>
        <v>1890</v>
      </c>
      <c r="I15" s="11">
        <f t="shared" ref="I15:I21" si="14">E15*G15</f>
        <v>1260</v>
      </c>
      <c r="J15" s="11">
        <f t="shared" ref="J15" si="15">H15-I15</f>
        <v>630</v>
      </c>
      <c r="K15" s="13">
        <f t="shared" ref="K15" si="16">J15/100*60</f>
        <v>378</v>
      </c>
      <c r="L15" s="13">
        <f t="shared" ref="L15" si="17">J15/100*40</f>
        <v>252</v>
      </c>
    </row>
    <row r="16" spans="1:15" x14ac:dyDescent="0.3">
      <c r="A16" s="8"/>
      <c r="B16" s="9" t="s">
        <v>30</v>
      </c>
      <c r="C16" s="10" t="s">
        <v>29</v>
      </c>
      <c r="D16" s="11">
        <v>552</v>
      </c>
      <c r="E16" s="11">
        <v>368</v>
      </c>
      <c r="F16" s="11">
        <f t="shared" si="12"/>
        <v>184</v>
      </c>
      <c r="G16" s="12">
        <v>10</v>
      </c>
      <c r="H16" s="11">
        <f t="shared" si="13"/>
        <v>5520</v>
      </c>
      <c r="I16" s="11">
        <f t="shared" si="14"/>
        <v>3680</v>
      </c>
      <c r="J16" s="11">
        <f t="shared" si="9"/>
        <v>1840</v>
      </c>
      <c r="K16" s="13">
        <f t="shared" si="10"/>
        <v>1104</v>
      </c>
      <c r="L16" s="13">
        <f t="shared" si="11"/>
        <v>736</v>
      </c>
    </row>
    <row r="17" spans="1:15" x14ac:dyDescent="0.3">
      <c r="A17" s="8"/>
      <c r="B17" s="9" t="s">
        <v>20</v>
      </c>
      <c r="C17" s="10" t="s">
        <v>22</v>
      </c>
      <c r="D17" s="11">
        <v>552</v>
      </c>
      <c r="E17" s="11">
        <v>368</v>
      </c>
      <c r="F17" s="11">
        <f t="shared" si="12"/>
        <v>184</v>
      </c>
      <c r="G17" s="12">
        <v>10</v>
      </c>
      <c r="H17" s="11">
        <f t="shared" si="13"/>
        <v>5520</v>
      </c>
      <c r="I17" s="11">
        <f t="shared" si="14"/>
        <v>3680</v>
      </c>
      <c r="J17" s="11">
        <f t="shared" si="9"/>
        <v>1840</v>
      </c>
      <c r="K17" s="13">
        <f t="shared" si="10"/>
        <v>1104</v>
      </c>
      <c r="L17" s="13">
        <f t="shared" si="11"/>
        <v>736</v>
      </c>
    </row>
    <row r="18" spans="1:15" x14ac:dyDescent="0.3">
      <c r="A18" s="8"/>
      <c r="B18" s="9" t="s">
        <v>39</v>
      </c>
      <c r="C18" s="10" t="s">
        <v>40</v>
      </c>
      <c r="D18" s="11">
        <v>11813</v>
      </c>
      <c r="E18" s="11">
        <v>7875</v>
      </c>
      <c r="F18" s="11">
        <f t="shared" si="12"/>
        <v>3938</v>
      </c>
      <c r="G18" s="12">
        <v>5</v>
      </c>
      <c r="H18" s="11">
        <f t="shared" si="13"/>
        <v>59065</v>
      </c>
      <c r="I18" s="11">
        <f t="shared" si="14"/>
        <v>39375</v>
      </c>
      <c r="J18" s="11">
        <f t="shared" si="9"/>
        <v>19690</v>
      </c>
      <c r="K18" s="13">
        <f t="shared" si="10"/>
        <v>11814</v>
      </c>
      <c r="L18" s="13">
        <f t="shared" si="11"/>
        <v>7876</v>
      </c>
    </row>
    <row r="19" spans="1:15" x14ac:dyDescent="0.3">
      <c r="A19" s="8"/>
      <c r="B19" s="9" t="s">
        <v>42</v>
      </c>
      <c r="C19" s="10" t="s">
        <v>41</v>
      </c>
      <c r="D19" s="11">
        <v>14963</v>
      </c>
      <c r="E19" s="11">
        <v>9975</v>
      </c>
      <c r="F19" s="11">
        <f t="shared" si="12"/>
        <v>4988</v>
      </c>
      <c r="G19" s="12">
        <v>5</v>
      </c>
      <c r="H19" s="11">
        <f t="shared" si="13"/>
        <v>74815</v>
      </c>
      <c r="I19" s="11">
        <f t="shared" si="14"/>
        <v>49875</v>
      </c>
      <c r="J19" s="11">
        <f t="shared" si="9"/>
        <v>24940</v>
      </c>
      <c r="K19" s="13">
        <f t="shared" si="10"/>
        <v>14964</v>
      </c>
      <c r="L19" s="13">
        <f t="shared" si="11"/>
        <v>9976</v>
      </c>
    </row>
    <row r="20" spans="1:15" x14ac:dyDescent="0.3">
      <c r="A20" s="8"/>
      <c r="B20" s="16" t="s">
        <v>38</v>
      </c>
      <c r="C20" s="10" t="s">
        <v>37</v>
      </c>
      <c r="D20" s="11">
        <v>11025</v>
      </c>
      <c r="E20" s="11">
        <v>7350</v>
      </c>
      <c r="F20" s="11">
        <f t="shared" si="12"/>
        <v>3675</v>
      </c>
      <c r="G20" s="12">
        <v>5</v>
      </c>
      <c r="H20" s="11">
        <f t="shared" si="13"/>
        <v>55125</v>
      </c>
      <c r="I20" s="11">
        <f t="shared" si="14"/>
        <v>36750</v>
      </c>
      <c r="J20" s="11">
        <f t="shared" si="9"/>
        <v>18375</v>
      </c>
      <c r="K20" s="13">
        <f t="shared" si="10"/>
        <v>11025</v>
      </c>
      <c r="L20" s="13">
        <f t="shared" si="11"/>
        <v>7350</v>
      </c>
    </row>
    <row r="21" spans="1:15" x14ac:dyDescent="0.3">
      <c r="A21" s="8"/>
      <c r="B21" s="9" t="s">
        <v>19</v>
      </c>
      <c r="C21" s="10" t="s">
        <v>23</v>
      </c>
      <c r="D21" s="11">
        <v>552</v>
      </c>
      <c r="E21" s="11">
        <v>368</v>
      </c>
      <c r="F21" s="11">
        <f t="shared" si="12"/>
        <v>184</v>
      </c>
      <c r="G21" s="12">
        <v>10</v>
      </c>
      <c r="H21" s="11">
        <f t="shared" si="13"/>
        <v>5520</v>
      </c>
      <c r="I21" s="11">
        <f t="shared" si="14"/>
        <v>3680</v>
      </c>
      <c r="J21" s="11">
        <f t="shared" si="9"/>
        <v>1840</v>
      </c>
      <c r="K21" s="13">
        <f t="shared" si="10"/>
        <v>1104</v>
      </c>
      <c r="L21" s="13">
        <f t="shared" si="11"/>
        <v>736</v>
      </c>
    </row>
    <row r="22" spans="1:15" x14ac:dyDescent="0.3">
      <c r="A22" s="23"/>
      <c r="B22" s="24"/>
      <c r="C22" s="25"/>
      <c r="D22" s="26"/>
      <c r="E22" s="26"/>
      <c r="F22" s="26">
        <f t="shared" ref="F22" si="18">D22-E22</f>
        <v>0</v>
      </c>
      <c r="G22" s="27"/>
      <c r="H22" s="26">
        <f t="shared" ref="H22" si="19">D22*G22</f>
        <v>0</v>
      </c>
      <c r="I22" s="26">
        <f t="shared" ref="I22" si="20">E22*G22</f>
        <v>0</v>
      </c>
      <c r="J22" s="26">
        <f t="shared" si="6"/>
        <v>0</v>
      </c>
      <c r="K22" s="28">
        <f t="shared" si="7"/>
        <v>0</v>
      </c>
      <c r="L22" s="28">
        <f t="shared" si="8"/>
        <v>0</v>
      </c>
    </row>
    <row r="23" spans="1:15" x14ac:dyDescent="0.3">
      <c r="G23" s="18" t="s">
        <v>12</v>
      </c>
      <c r="H23" s="19">
        <f>SUM(H13:H22)</f>
        <v>218375</v>
      </c>
      <c r="I23" s="19">
        <f>SUM(I13:I22)</f>
        <v>145560</v>
      </c>
      <c r="J23" s="19">
        <f>SUM(J13:J22)</f>
        <v>72815</v>
      </c>
      <c r="K23" s="20">
        <f>SUM(K13:K22)</f>
        <v>43689</v>
      </c>
      <c r="L23" s="20">
        <f>SUM(L13:L22)</f>
        <v>29126</v>
      </c>
    </row>
    <row r="26" spans="1:15" s="7" customFormat="1" ht="14.25" x14ac:dyDescent="0.2">
      <c r="A26" s="1" t="s">
        <v>6</v>
      </c>
      <c r="B26" s="2" t="s">
        <v>0</v>
      </c>
      <c r="C26" s="3" t="s">
        <v>3</v>
      </c>
      <c r="D26" s="4" t="s">
        <v>7</v>
      </c>
      <c r="E26" s="4" t="s">
        <v>8</v>
      </c>
      <c r="F26" s="5" t="s">
        <v>9</v>
      </c>
      <c r="G26" s="2" t="s">
        <v>18</v>
      </c>
      <c r="H26" s="5" t="s">
        <v>10</v>
      </c>
      <c r="I26" s="5" t="s">
        <v>11</v>
      </c>
      <c r="J26" s="5" t="s">
        <v>12</v>
      </c>
      <c r="K26" s="6">
        <v>1</v>
      </c>
      <c r="L26" s="6">
        <v>2</v>
      </c>
      <c r="O26" s="21"/>
    </row>
    <row r="27" spans="1:15" s="7" customFormat="1" ht="14.25" x14ac:dyDescent="0.2">
      <c r="A27" s="36"/>
      <c r="B27" s="37"/>
      <c r="C27" s="29"/>
      <c r="D27" s="30"/>
      <c r="E27" s="30"/>
      <c r="F27" s="30"/>
      <c r="G27" s="24"/>
      <c r="H27" s="30"/>
      <c r="I27" s="30"/>
      <c r="J27" s="30"/>
      <c r="K27" s="31"/>
      <c r="L27" s="31"/>
      <c r="O27" s="21"/>
    </row>
    <row r="28" spans="1:15" x14ac:dyDescent="0.3">
      <c r="A28" s="8"/>
      <c r="B28" s="9" t="s">
        <v>48</v>
      </c>
      <c r="C28" s="10" t="s">
        <v>46</v>
      </c>
      <c r="D28" s="11">
        <v>9450</v>
      </c>
      <c r="E28" s="11">
        <v>6300</v>
      </c>
      <c r="F28" s="11">
        <f t="shared" ref="F28:F35" si="21">D28-E28</f>
        <v>3150</v>
      </c>
      <c r="G28" s="12">
        <v>1</v>
      </c>
      <c r="H28" s="11">
        <f t="shared" ref="H28" si="22">D28*G28</f>
        <v>9450</v>
      </c>
      <c r="I28" s="11">
        <f t="shared" ref="I28" si="23">E28*G28</f>
        <v>6300</v>
      </c>
      <c r="J28" s="11">
        <f t="shared" ref="J28" si="24">H28-I28</f>
        <v>3150</v>
      </c>
      <c r="K28" s="13">
        <f t="shared" ref="K28" si="25">J28/100*60</f>
        <v>1890</v>
      </c>
      <c r="L28" s="13">
        <f t="shared" ref="L28" si="26">J28/100*40</f>
        <v>1260</v>
      </c>
    </row>
    <row r="29" spans="1:15" x14ac:dyDescent="0.3">
      <c r="A29" s="8"/>
      <c r="B29" s="9" t="s">
        <v>51</v>
      </c>
      <c r="C29" s="10" t="s">
        <v>52</v>
      </c>
      <c r="D29" s="11">
        <v>2363</v>
      </c>
      <c r="E29" s="11">
        <v>1575</v>
      </c>
      <c r="F29" s="11">
        <f t="shared" si="21"/>
        <v>788</v>
      </c>
      <c r="G29" s="12">
        <v>1</v>
      </c>
      <c r="H29" s="11">
        <f t="shared" ref="H29:H34" si="27">D29*G29</f>
        <v>2363</v>
      </c>
      <c r="I29" s="11">
        <f t="shared" ref="I29:I34" si="28">E29*G29</f>
        <v>1575</v>
      </c>
      <c r="J29" s="11">
        <f t="shared" ref="J29:J34" si="29">H29-I29</f>
        <v>788</v>
      </c>
      <c r="K29" s="13">
        <f t="shared" ref="K29:K34" si="30">J29/100*60</f>
        <v>472.8</v>
      </c>
      <c r="L29" s="13">
        <f t="shared" ref="L29:L34" si="31">J29/100*40</f>
        <v>315.2</v>
      </c>
    </row>
    <row r="30" spans="1:15" x14ac:dyDescent="0.3">
      <c r="A30" s="8"/>
      <c r="B30" s="9" t="s">
        <v>19</v>
      </c>
      <c r="C30" s="10" t="s">
        <v>23</v>
      </c>
      <c r="D30" s="11">
        <v>552</v>
      </c>
      <c r="E30" s="11">
        <v>368</v>
      </c>
      <c r="F30" s="11">
        <f t="shared" si="21"/>
        <v>184</v>
      </c>
      <c r="G30" s="12">
        <v>1</v>
      </c>
      <c r="H30" s="11">
        <f t="shared" si="27"/>
        <v>552</v>
      </c>
      <c r="I30" s="11">
        <f t="shared" si="28"/>
        <v>368</v>
      </c>
      <c r="J30" s="11">
        <f t="shared" si="29"/>
        <v>184</v>
      </c>
      <c r="K30" s="13">
        <f t="shared" si="30"/>
        <v>110.4</v>
      </c>
      <c r="L30" s="13">
        <f t="shared" si="31"/>
        <v>73.600000000000009</v>
      </c>
    </row>
    <row r="31" spans="1:15" x14ac:dyDescent="0.3">
      <c r="A31" s="8"/>
      <c r="B31" s="9" t="s">
        <v>54</v>
      </c>
      <c r="C31" s="10" t="s">
        <v>53</v>
      </c>
      <c r="D31" s="11">
        <v>1386</v>
      </c>
      <c r="E31" s="11">
        <v>924</v>
      </c>
      <c r="F31" s="11">
        <f t="shared" si="21"/>
        <v>462</v>
      </c>
      <c r="G31" s="12">
        <v>1</v>
      </c>
      <c r="H31" s="11">
        <f t="shared" si="27"/>
        <v>1386</v>
      </c>
      <c r="I31" s="11">
        <f t="shared" si="28"/>
        <v>924</v>
      </c>
      <c r="J31" s="11">
        <f t="shared" si="29"/>
        <v>462</v>
      </c>
      <c r="K31" s="13">
        <f t="shared" si="30"/>
        <v>277.2</v>
      </c>
      <c r="L31" s="13">
        <f t="shared" si="31"/>
        <v>184.8</v>
      </c>
    </row>
    <row r="32" spans="1:15" x14ac:dyDescent="0.3">
      <c r="A32" s="8"/>
      <c r="B32" s="9" t="s">
        <v>55</v>
      </c>
      <c r="C32" s="10" t="s">
        <v>56</v>
      </c>
      <c r="D32" s="11">
        <v>2048</v>
      </c>
      <c r="E32" s="11">
        <v>1365</v>
      </c>
      <c r="F32" s="11">
        <f t="shared" si="21"/>
        <v>683</v>
      </c>
      <c r="G32" s="12">
        <v>1</v>
      </c>
      <c r="H32" s="11">
        <f t="shared" si="27"/>
        <v>2048</v>
      </c>
      <c r="I32" s="11">
        <f t="shared" si="28"/>
        <v>1365</v>
      </c>
      <c r="J32" s="11">
        <f t="shared" si="29"/>
        <v>683</v>
      </c>
      <c r="K32" s="13">
        <f t="shared" si="30"/>
        <v>409.8</v>
      </c>
      <c r="L32" s="13">
        <f t="shared" si="31"/>
        <v>273.2</v>
      </c>
    </row>
    <row r="33" spans="1:15" x14ac:dyDescent="0.3">
      <c r="A33" s="8"/>
      <c r="B33" s="9"/>
      <c r="C33" s="10"/>
      <c r="D33" s="11"/>
      <c r="E33" s="11"/>
      <c r="F33" s="11">
        <f t="shared" si="21"/>
        <v>0</v>
      </c>
      <c r="G33" s="12">
        <v>0</v>
      </c>
      <c r="H33" s="11">
        <f t="shared" si="27"/>
        <v>0</v>
      </c>
      <c r="I33" s="11">
        <f t="shared" si="28"/>
        <v>0</v>
      </c>
      <c r="J33" s="11">
        <f t="shared" si="29"/>
        <v>0</v>
      </c>
      <c r="K33" s="13">
        <f t="shared" si="30"/>
        <v>0</v>
      </c>
      <c r="L33" s="13">
        <f t="shared" si="31"/>
        <v>0</v>
      </c>
    </row>
    <row r="34" spans="1:15" x14ac:dyDescent="0.3">
      <c r="A34" s="8"/>
      <c r="B34" s="9"/>
      <c r="C34" s="10"/>
      <c r="D34" s="11"/>
      <c r="E34" s="11"/>
      <c r="F34" s="11">
        <f t="shared" si="21"/>
        <v>0</v>
      </c>
      <c r="G34" s="12">
        <v>0</v>
      </c>
      <c r="H34" s="11">
        <f t="shared" si="27"/>
        <v>0</v>
      </c>
      <c r="I34" s="11">
        <f t="shared" si="28"/>
        <v>0</v>
      </c>
      <c r="J34" s="11">
        <f t="shared" si="29"/>
        <v>0</v>
      </c>
      <c r="K34" s="13">
        <f t="shared" si="30"/>
        <v>0</v>
      </c>
      <c r="L34" s="13">
        <f t="shared" si="31"/>
        <v>0</v>
      </c>
    </row>
    <row r="35" spans="1:15" x14ac:dyDescent="0.3">
      <c r="A35" s="23"/>
      <c r="B35" s="24"/>
      <c r="C35" s="25"/>
      <c r="D35" s="26"/>
      <c r="E35" s="26"/>
      <c r="F35" s="26">
        <f t="shared" si="21"/>
        <v>0</v>
      </c>
      <c r="G35" s="27"/>
      <c r="H35" s="26">
        <f t="shared" ref="H35" si="32">D35*G35</f>
        <v>0</v>
      </c>
      <c r="I35" s="26">
        <f t="shared" ref="I35" si="33">E35*G35</f>
        <v>0</v>
      </c>
      <c r="J35" s="26">
        <f t="shared" ref="J28:J35" si="34">H35-I35</f>
        <v>0</v>
      </c>
      <c r="K35" s="28">
        <f t="shared" ref="K28:K35" si="35">J35/100*60</f>
        <v>0</v>
      </c>
      <c r="L35" s="28">
        <f t="shared" ref="L28:L35" si="36">J35/100*40</f>
        <v>0</v>
      </c>
      <c r="O35" s="17">
        <f>H36+H51</f>
        <v>26657</v>
      </c>
    </row>
    <row r="36" spans="1:15" x14ac:dyDescent="0.3">
      <c r="G36" s="18" t="s">
        <v>12</v>
      </c>
      <c r="H36" s="19">
        <f>SUM(H28:H35)</f>
        <v>15799</v>
      </c>
      <c r="I36" s="19">
        <f>SUM(I28:I35)</f>
        <v>10532</v>
      </c>
      <c r="J36" s="19">
        <f>SUM(J28:J35)</f>
        <v>5267</v>
      </c>
      <c r="K36" s="20">
        <f>SUM(K28:K35)</f>
        <v>3160.2000000000003</v>
      </c>
      <c r="L36" s="20">
        <f>SUM(L28:L35)</f>
        <v>2106.7999999999997</v>
      </c>
    </row>
    <row r="39" spans="1:15" x14ac:dyDescent="0.3">
      <c r="A39" s="1" t="s">
        <v>6</v>
      </c>
      <c r="B39" s="2" t="s">
        <v>0</v>
      </c>
      <c r="C39" s="3" t="s">
        <v>3</v>
      </c>
      <c r="D39" s="4" t="s">
        <v>7</v>
      </c>
      <c r="E39" s="4" t="s">
        <v>8</v>
      </c>
      <c r="F39" s="5" t="s">
        <v>9</v>
      </c>
      <c r="G39" s="2" t="s">
        <v>18</v>
      </c>
      <c r="H39" s="5" t="s">
        <v>10</v>
      </c>
      <c r="I39" s="5" t="s">
        <v>11</v>
      </c>
      <c r="J39" s="5" t="s">
        <v>12</v>
      </c>
      <c r="K39" s="6">
        <v>1</v>
      </c>
      <c r="L39" s="6">
        <v>2</v>
      </c>
    </row>
    <row r="40" spans="1:15" x14ac:dyDescent="0.3">
      <c r="A40" s="36"/>
      <c r="B40" s="37"/>
      <c r="C40" s="29"/>
      <c r="D40" s="30"/>
      <c r="E40" s="30"/>
      <c r="F40" s="30"/>
      <c r="G40" s="24"/>
      <c r="H40" s="30"/>
      <c r="I40" s="30"/>
      <c r="J40" s="30"/>
      <c r="K40" s="31"/>
      <c r="L40" s="31"/>
    </row>
    <row r="41" spans="1:15" x14ac:dyDescent="0.3">
      <c r="A41" s="38"/>
      <c r="B41" s="9" t="s">
        <v>19</v>
      </c>
      <c r="C41" s="10" t="s">
        <v>23</v>
      </c>
      <c r="D41" s="11">
        <v>552</v>
      </c>
      <c r="E41" s="11">
        <v>368</v>
      </c>
      <c r="F41" s="11">
        <f t="shared" ref="F41:F48" si="37">D41-E41</f>
        <v>184</v>
      </c>
      <c r="G41" s="12">
        <v>7</v>
      </c>
      <c r="H41" s="11">
        <f t="shared" ref="H41:H43" si="38">D41*G41</f>
        <v>3864</v>
      </c>
      <c r="I41" s="11">
        <f t="shared" ref="I41:I43" si="39">E41*G41</f>
        <v>2576</v>
      </c>
      <c r="J41" s="11">
        <f t="shared" ref="J41:J43" si="40">H41-I41</f>
        <v>1288</v>
      </c>
      <c r="K41" s="13">
        <f t="shared" ref="K41:K43" si="41">J41/100*60</f>
        <v>772.80000000000007</v>
      </c>
      <c r="L41" s="13">
        <f t="shared" ref="L41:L43" si="42">J41/100*40</f>
        <v>515.20000000000005</v>
      </c>
      <c r="O41" s="17">
        <v>20000</v>
      </c>
    </row>
    <row r="42" spans="1:15" x14ac:dyDescent="0.3">
      <c r="A42" s="8"/>
      <c r="B42" s="9" t="s">
        <v>33</v>
      </c>
      <c r="C42" s="10" t="s">
        <v>36</v>
      </c>
      <c r="D42" s="11">
        <v>1182</v>
      </c>
      <c r="E42" s="11">
        <v>788</v>
      </c>
      <c r="F42" s="11">
        <f t="shared" si="37"/>
        <v>394</v>
      </c>
      <c r="G42" s="12">
        <v>1</v>
      </c>
      <c r="H42" s="11">
        <f t="shared" si="38"/>
        <v>1182</v>
      </c>
      <c r="I42" s="11">
        <f t="shared" si="39"/>
        <v>788</v>
      </c>
      <c r="J42" s="11">
        <f t="shared" si="40"/>
        <v>394</v>
      </c>
      <c r="K42" s="13">
        <f t="shared" si="41"/>
        <v>236.4</v>
      </c>
      <c r="L42" s="13">
        <f t="shared" si="42"/>
        <v>157.6</v>
      </c>
      <c r="O42" s="17">
        <f>O41-I36</f>
        <v>9468</v>
      </c>
    </row>
    <row r="43" spans="1:15" x14ac:dyDescent="0.3">
      <c r="A43" s="8"/>
      <c r="B43" s="34" t="s">
        <v>31</v>
      </c>
      <c r="C43" s="10" t="s">
        <v>34</v>
      </c>
      <c r="D43" s="11">
        <v>158</v>
      </c>
      <c r="E43" s="11">
        <v>105</v>
      </c>
      <c r="F43" s="11">
        <f t="shared" si="37"/>
        <v>53</v>
      </c>
      <c r="G43" s="12">
        <v>5</v>
      </c>
      <c r="H43" s="11">
        <f t="shared" si="38"/>
        <v>790</v>
      </c>
      <c r="I43" s="11">
        <f t="shared" si="39"/>
        <v>525</v>
      </c>
      <c r="J43" s="11">
        <f t="shared" si="40"/>
        <v>265</v>
      </c>
      <c r="K43" s="13">
        <f t="shared" si="41"/>
        <v>159</v>
      </c>
      <c r="L43" s="13">
        <f t="shared" si="42"/>
        <v>106</v>
      </c>
    </row>
    <row r="44" spans="1:15" x14ac:dyDescent="0.3">
      <c r="A44" s="8"/>
      <c r="B44" s="34" t="s">
        <v>44</v>
      </c>
      <c r="C44" s="10" t="s">
        <v>45</v>
      </c>
      <c r="D44" s="11">
        <v>269</v>
      </c>
      <c r="E44" s="11">
        <v>179</v>
      </c>
      <c r="F44" s="11">
        <f t="shared" si="37"/>
        <v>90</v>
      </c>
      <c r="G44" s="12">
        <v>3</v>
      </c>
      <c r="H44" s="11">
        <f t="shared" ref="H44" si="43">D44*G44</f>
        <v>807</v>
      </c>
      <c r="I44" s="11">
        <f t="shared" ref="I44" si="44">E44*G44</f>
        <v>537</v>
      </c>
      <c r="J44" s="11">
        <f t="shared" ref="J44" si="45">H44-I44</f>
        <v>270</v>
      </c>
      <c r="K44" s="13">
        <f t="shared" ref="K44" si="46">J44/100*60</f>
        <v>162</v>
      </c>
      <c r="L44" s="13">
        <f t="shared" ref="L44" si="47">J44/100*40</f>
        <v>108</v>
      </c>
    </row>
    <row r="45" spans="1:15" x14ac:dyDescent="0.3">
      <c r="A45" s="8"/>
      <c r="B45" s="34" t="s">
        <v>27</v>
      </c>
      <c r="C45" s="10" t="s">
        <v>28</v>
      </c>
      <c r="D45" s="11">
        <v>158</v>
      </c>
      <c r="E45" s="11">
        <v>105</v>
      </c>
      <c r="F45" s="11">
        <f t="shared" si="37"/>
        <v>53</v>
      </c>
      <c r="G45" s="12">
        <v>7</v>
      </c>
      <c r="H45" s="11">
        <f>D45*G45</f>
        <v>1106</v>
      </c>
      <c r="I45" s="11">
        <f>E45*G45</f>
        <v>735</v>
      </c>
      <c r="J45" s="11">
        <f>H45-I45</f>
        <v>371</v>
      </c>
      <c r="K45" s="13">
        <f>J45/100*60</f>
        <v>222.6</v>
      </c>
      <c r="L45" s="13">
        <f>J45/100*40</f>
        <v>148.4</v>
      </c>
    </row>
    <row r="46" spans="1:15" x14ac:dyDescent="0.3">
      <c r="A46" s="8"/>
      <c r="B46" s="35" t="s">
        <v>21</v>
      </c>
      <c r="C46" s="10" t="s">
        <v>24</v>
      </c>
      <c r="D46" s="11">
        <v>206</v>
      </c>
      <c r="E46" s="11">
        <v>206</v>
      </c>
      <c r="F46" s="11">
        <f t="shared" si="37"/>
        <v>0</v>
      </c>
      <c r="G46" s="12">
        <v>2</v>
      </c>
      <c r="H46" s="11">
        <f>D46*G46</f>
        <v>412</v>
      </c>
      <c r="I46" s="11">
        <f>E46*G46</f>
        <v>412</v>
      </c>
      <c r="J46" s="11">
        <f>H46-I46</f>
        <v>0</v>
      </c>
      <c r="K46" s="13">
        <f>J46/100*60</f>
        <v>0</v>
      </c>
      <c r="L46" s="13">
        <f>J46/100*40</f>
        <v>0</v>
      </c>
    </row>
    <row r="47" spans="1:15" x14ac:dyDescent="0.3">
      <c r="A47" s="8"/>
      <c r="B47" s="34" t="s">
        <v>49</v>
      </c>
      <c r="C47" s="10" t="s">
        <v>50</v>
      </c>
      <c r="D47" s="11">
        <v>111</v>
      </c>
      <c r="E47" s="11">
        <v>74</v>
      </c>
      <c r="F47" s="11">
        <f t="shared" ref="F47" si="48">D47-E47</f>
        <v>37</v>
      </c>
      <c r="G47" s="12">
        <v>3</v>
      </c>
      <c r="H47" s="11">
        <f t="shared" ref="H47" si="49">D47*G47</f>
        <v>333</v>
      </c>
      <c r="I47" s="11">
        <f t="shared" ref="I47" si="50">E47*G47</f>
        <v>222</v>
      </c>
      <c r="J47" s="11">
        <f t="shared" ref="J47" si="51">H47-I47</f>
        <v>111</v>
      </c>
      <c r="K47" s="13">
        <f t="shared" ref="K47:K48" si="52">J47/100*60</f>
        <v>66.600000000000009</v>
      </c>
      <c r="L47" s="13">
        <f t="shared" ref="L47" si="53">J47/100*40</f>
        <v>44.400000000000006</v>
      </c>
    </row>
    <row r="48" spans="1:15" x14ac:dyDescent="0.3">
      <c r="A48" s="8"/>
      <c r="B48" s="34" t="s">
        <v>32</v>
      </c>
      <c r="C48" s="10" t="s">
        <v>35</v>
      </c>
      <c r="D48" s="11">
        <v>1182</v>
      </c>
      <c r="E48" s="11">
        <v>788</v>
      </c>
      <c r="F48" s="11">
        <f t="shared" si="37"/>
        <v>394</v>
      </c>
      <c r="G48" s="12">
        <v>2</v>
      </c>
      <c r="H48" s="11">
        <f t="shared" ref="H48:H51" si="54">D48*G48</f>
        <v>2364</v>
      </c>
      <c r="I48" s="11">
        <f t="shared" ref="I48" si="55">E48*G48</f>
        <v>1576</v>
      </c>
      <c r="J48" s="11">
        <f t="shared" ref="J48" si="56">H48-I48</f>
        <v>788</v>
      </c>
      <c r="K48" s="13">
        <f t="shared" si="52"/>
        <v>472.8</v>
      </c>
      <c r="L48" s="13">
        <f t="shared" ref="L48" si="57">J48/100*40</f>
        <v>315.2</v>
      </c>
    </row>
    <row r="49" spans="1:12" x14ac:dyDescent="0.3">
      <c r="A49" s="8"/>
      <c r="B49" s="33"/>
      <c r="C49" s="10"/>
      <c r="D49" s="11"/>
      <c r="E49" s="11"/>
      <c r="F49" s="11"/>
      <c r="G49" s="12"/>
      <c r="H49" s="11"/>
      <c r="I49" s="11"/>
      <c r="J49" s="11"/>
      <c r="K49" s="13"/>
      <c r="L49" s="13"/>
    </row>
    <row r="50" spans="1:12" x14ac:dyDescent="0.3">
      <c r="A50" s="23"/>
      <c r="B50" s="24"/>
      <c r="C50" s="25"/>
      <c r="D50" s="26"/>
      <c r="E50" s="26"/>
      <c r="F50" s="26">
        <f t="shared" ref="F50" si="58">D50-E50</f>
        <v>0</v>
      </c>
      <c r="G50" s="27"/>
      <c r="H50" s="26">
        <f t="shared" ref="H50" si="59">D50*G50</f>
        <v>0</v>
      </c>
      <c r="I50" s="26">
        <f t="shared" ref="I50" si="60">E50*G50</f>
        <v>0</v>
      </c>
      <c r="J50" s="26">
        <f t="shared" ref="J50" si="61">H50-I50</f>
        <v>0</v>
      </c>
      <c r="K50" s="28">
        <f t="shared" ref="K50" si="62">J50/100*60</f>
        <v>0</v>
      </c>
      <c r="L50" s="28">
        <f t="shared" ref="L50" si="63">J50/100*40</f>
        <v>0</v>
      </c>
    </row>
    <row r="51" spans="1:12" x14ac:dyDescent="0.3">
      <c r="G51" s="18"/>
      <c r="H51" s="19">
        <f>SUM(H41:H48)</f>
        <v>10858</v>
      </c>
      <c r="I51" s="19">
        <f>SUM(I41:I48)</f>
        <v>7371</v>
      </c>
      <c r="J51" s="19">
        <f>SUM(J41:J48)</f>
        <v>3487</v>
      </c>
      <c r="K51" s="19">
        <f>SUM(K41:K48)</f>
        <v>2092.1999999999998</v>
      </c>
      <c r="L51" s="19">
        <f>SUM(L41:L48)</f>
        <v>1394.8000000000002</v>
      </c>
    </row>
    <row r="52" spans="1:12" x14ac:dyDescent="0.3">
      <c r="K52" s="14">
        <v>2100</v>
      </c>
      <c r="L52" s="14">
        <v>1350</v>
      </c>
    </row>
  </sheetData>
  <mergeCells count="4">
    <mergeCell ref="A5:B5"/>
    <mergeCell ref="A12:B12"/>
    <mergeCell ref="A27:B27"/>
    <mergeCell ref="A40:B40"/>
  </mergeCells>
  <pageMargins left="0.7" right="0.7" top="0.75" bottom="0.75" header="0.3" footer="0.3"/>
  <pageSetup paperSize="2321" orientation="portrait" horizontalDpi="16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1:G12"/>
  <sheetViews>
    <sheetView workbookViewId="0">
      <selection activeCell="H15" sqref="H15"/>
    </sheetView>
  </sheetViews>
  <sheetFormatPr defaultRowHeight="15" x14ac:dyDescent="0.25"/>
  <cols>
    <col min="6" max="6" width="10.7109375" bestFit="1" customWidth="1"/>
  </cols>
  <sheetData>
    <row r="11" spans="6:7" x14ac:dyDescent="0.25">
      <c r="F11" t="s">
        <v>47</v>
      </c>
      <c r="G11">
        <v>4</v>
      </c>
    </row>
    <row r="12" spans="6:7" x14ac:dyDescent="0.25">
      <c r="G1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C10" sqref="C10"/>
    </sheetView>
  </sheetViews>
  <sheetFormatPr defaultRowHeight="15" x14ac:dyDescent="0.25"/>
  <sheetData>
    <row r="1" spans="1:1" x14ac:dyDescent="0.25">
      <c r="A1" t="s">
        <v>13</v>
      </c>
    </row>
    <row r="2" spans="1:1" x14ac:dyDescent="0.25">
      <c r="A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Angelica</vt:lpstr>
      <vt:lpstr>Sheet2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PROGRAMMER</dc:creator>
  <cp:lastModifiedBy>PROGRAMMER</cp:lastModifiedBy>
  <dcterms:created xsi:type="dcterms:W3CDTF">2020-11-06T06:35:41Z</dcterms:created>
  <dcterms:modified xsi:type="dcterms:W3CDTF">2020-12-30T07:13:58Z</dcterms:modified>
</cp:coreProperties>
</file>